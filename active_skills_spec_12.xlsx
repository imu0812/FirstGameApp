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Test\FirstGameApp\"/>
    </mc:Choice>
  </mc:AlternateContent>
  <xr:revisionPtr revIDLastSave="0" documentId="13_ncr:1_{1941C8FC-73C0-493D-A027-621ABDEA4E96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總覽" sheetId="1" r:id="rId1"/>
    <sheet name="主動技能規格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8" i="1" l="1"/>
  <c r="F17" i="1"/>
  <c r="F16" i="1"/>
  <c r="F15" i="1"/>
  <c r="F14" i="1"/>
  <c r="F13" i="1"/>
  <c r="F12" i="1"/>
  <c r="F11" i="1"/>
  <c r="C11" i="1"/>
  <c r="F10" i="1"/>
  <c r="C10" i="1"/>
  <c r="F9" i="1"/>
  <c r="C9" i="1"/>
  <c r="F8" i="1"/>
  <c r="C8" i="1"/>
  <c r="F7" i="1"/>
  <c r="C7" i="1"/>
  <c r="C6" i="1"/>
</calcChain>
</file>

<file path=xl/sharedStrings.xml><?xml version="1.0" encoding="utf-8"?>
<sst xmlns="http://schemas.openxmlformats.org/spreadsheetml/2006/main" count="229" uniqueCount="188">
  <si>
    <t>主動技能 12 項擴充規格總覽</t>
  </si>
  <si>
    <t>說明</t>
  </si>
  <si>
    <t>本檔整合目前既有 4 項主動技能 + 新增提案 8 項，並內嵌 36×36 PNG 圖示。</t>
  </si>
  <si>
    <t>總主動技能數</t>
  </si>
  <si>
    <t>技能家族</t>
  </si>
  <si>
    <t>數量</t>
  </si>
  <si>
    <t>既有技能數</t>
  </si>
  <si>
    <t>奧術 / 單體</t>
  </si>
  <si>
    <t>新增技能數</t>
  </si>
  <si>
    <t>聖能 / 近戰防區</t>
  </si>
  <si>
    <t>P1 優先開發</t>
  </si>
  <si>
    <t>冰霜 / 控場穿透</t>
  </si>
  <si>
    <t>P2 次優先</t>
  </si>
  <si>
    <t>星爆 / 範圍清怪</t>
  </si>
  <si>
    <t>P0 已實裝</t>
  </si>
  <si>
    <t>火焰 / 爆裂灼燒</t>
  </si>
  <si>
    <t>雷電 / 跳躍清群</t>
  </si>
  <si>
    <t>風系 / 回返多段</t>
  </si>
  <si>
    <t>設計建議</t>
  </si>
  <si>
    <t>36×36 適合作為實機 HUD / 升級選單 icon；若要保留更多特效細節，建議同時保留 72×72 或 144×144 master。</t>
  </si>
  <si>
    <t>地脈 / 地面爆發</t>
  </si>
  <si>
    <t>推薦先做</t>
  </si>
  <si>
    <t>P1：烈焰火球、連鎖雷擊、毒藤砲台、反擊護幕</t>
  </si>
  <si>
    <t>草系 / 定點召喚</t>
  </si>
  <si>
    <t>第二批</t>
  </si>
  <si>
    <t>P2：風刃迴旋、地脈尖刺、幼龍使魔、冰晶圖騰</t>
  </si>
  <si>
    <t>龍系 / 跟隨召喚</t>
  </si>
  <si>
    <t>冰晶 / 控場召喚</t>
  </si>
  <si>
    <t>防禦 / 反制</t>
  </si>
  <si>
    <t>主動技能正式規格表</t>
  </si>
  <si>
    <t>註記</t>
  </si>
  <si>
    <t>欄位中的 Lv1~Lv5 為設計方向，不必與最終數值完全綁死；建議保持角色定位不變、只微調數值。</t>
  </si>
  <si>
    <t>圖示</t>
  </si>
  <si>
    <t>狀態</t>
  </si>
  <si>
    <t>Key</t>
  </si>
  <si>
    <t>技能名稱</t>
  </si>
  <si>
    <t>建議系統 type</t>
  </si>
  <si>
    <t>定位</t>
  </si>
  <si>
    <t>核心效果</t>
  </si>
  <si>
    <t>Lv1</t>
  </si>
  <si>
    <t>Lv2</t>
  </si>
  <si>
    <t>Lv3</t>
  </si>
  <si>
    <t>Lv4</t>
  </si>
  <si>
    <t>Lv5</t>
  </si>
  <si>
    <t>實作難度</t>
  </si>
  <si>
    <t>優先順序</t>
  </si>
  <si>
    <t>Tags</t>
  </si>
  <si>
    <t>既有</t>
  </si>
  <si>
    <t>arc_bolt</t>
  </si>
  <si>
    <t>auto</t>
  </si>
  <si>
    <t>自動索敵、穩定單體輸出</t>
  </si>
  <si>
    <t>自動鎖定最近敵人；高攻速、低風險，適合作為任何流派的起手主武器。</t>
  </si>
  <si>
    <t>基礎 1 發、自動索敵。</t>
  </si>
  <si>
    <t>傷害與射速提升。</t>
  </si>
  <si>
    <t>增加為 2 發，擴大覆蓋。</t>
  </si>
  <si>
    <t>解鎖穿透 1，補足清線力。</t>
  </si>
  <si>
    <t>3 發＋最高攻速，成為穩定主輸出。</t>
  </si>
  <si>
    <t>低</t>
  </si>
  <si>
    <t>P0</t>
  </si>
  <si>
    <t>single_target, homing, arcane, starter</t>
  </si>
  <si>
    <t>orbit</t>
  </si>
  <si>
    <t>環繞近身輸出、保護角色周邊</t>
  </si>
  <si>
    <t>飛刃繞身持續切割，專門清靠近玩家的小怪與漏網怪。</t>
  </si>
  <si>
    <t>1 枚飛刃，建立貼身防區。</t>
  </si>
  <si>
    <t>增加為 2 枚，提高周身安全。</t>
  </si>
  <si>
    <t>傷害與旋轉速度提升。</t>
  </si>
  <si>
    <t>增加為 3 枚，半徑擴大。</t>
  </si>
  <si>
    <t>4 枚飛刃＋最高切割頻率。</t>
  </si>
  <si>
    <t>orbit, melee, sustain, defense</t>
  </si>
  <si>
    <t>pierce</t>
  </si>
  <si>
    <t>直線穿透、減速與凍結</t>
  </si>
  <si>
    <t>冰箭沿直線穿透敵群並附加緩速；高階可短暫凍結，適合控場。</t>
  </si>
  <si>
    <t>1 發冰箭＋基礎緩速。</t>
  </si>
  <si>
    <t>提高傷害並延長緩速。</t>
  </si>
  <si>
    <t>增加為 2 發，穿透層數提升。</t>
  </si>
  <si>
    <t>解鎖凍結，抑制菁英衝臉。</t>
  </si>
  <si>
    <t>3 發＋強緩速＋穩定凍結。</t>
  </si>
  <si>
    <t>pierce, slow, freeze, control</t>
  </si>
  <si>
    <t>explosive</t>
  </si>
  <si>
    <t>遠距爆炸、密集清場</t>
  </si>
  <si>
    <t>發射種子，命中後爆炸；適合處理聚怪與中後期成群敵人。</t>
  </si>
  <si>
    <t>單發種子，命中爆炸。</t>
  </si>
  <si>
    <t>傷害與爆炸半徑提升。</t>
  </si>
  <si>
    <t>增加為 2 發，提高清怪效率。</t>
  </si>
  <si>
    <t>爆炸範圍再擴大，覆蓋更廣。</t>
  </si>
  <si>
    <t>3 發＋最大爆炸圈，擔任主 AOE。</t>
  </si>
  <si>
    <t>explosive, aoe, area_clear</t>
  </si>
  <si>
    <t>新增</t>
  </si>
  <si>
    <t>flame_orb</t>
  </si>
  <si>
    <t>烈焰火球</t>
  </si>
  <si>
    <t>explosive_dot</t>
  </si>
  <si>
    <t>中距離爆裂、持續灼燒</t>
  </si>
  <si>
    <t>火球命中或飛行終點時爆炸，並對範圍敵人附加燃燒傷害。</t>
  </si>
  <si>
    <t>單發火球＋基礎燃燒。</t>
  </si>
  <si>
    <t>燃燒時間與爆炸半徑提升。</t>
  </si>
  <si>
    <t>增加為 2 發，覆蓋多點。</t>
  </si>
  <si>
    <t>爆點留下短暫火焰地面。</t>
  </si>
  <si>
    <t>3 發火球＋重度灼燒，成為火系主核。</t>
  </si>
  <si>
    <t>P1</t>
  </si>
  <si>
    <t>fire, explosive, dot, aoe</t>
  </si>
  <si>
    <t>chain_thunder</t>
  </si>
  <si>
    <t>連鎖雷擊</t>
  </si>
  <si>
    <t>chain</t>
  </si>
  <si>
    <t>多目標跳電、清中型怪群</t>
  </si>
  <si>
    <t>命中首目標後向鄰近敵人連鎖彈跳，節奏快、清散怪能力強。</t>
  </si>
  <si>
    <t>首擊後可連鎖 2 個目標。</t>
  </si>
  <si>
    <t>提升傷害與跳電速度。</t>
  </si>
  <si>
    <t>提高為 4 連鎖並附加感電。</t>
  </si>
  <si>
    <t>單次施放可多出 1 條次級雷弧。</t>
  </si>
  <si>
    <t>6 連鎖＋小機率短暫麻痺。</t>
  </si>
  <si>
    <t>中</t>
  </si>
  <si>
    <t>lightning, chain, clear, shock</t>
  </si>
  <si>
    <t>gale_boomerang</t>
  </si>
  <si>
    <t>風刃迴旋</t>
  </si>
  <si>
    <t>boomerang</t>
  </si>
  <si>
    <t>往返路徑輸出、可多次命中</t>
  </si>
  <si>
    <t>投出風刃向前切割，短暫後折返；同一路徑可二次命中同一批怪。</t>
  </si>
  <si>
    <t>1 枚回旋風刃。</t>
  </si>
  <si>
    <t>飛行距離與回返速度提升。</t>
  </si>
  <si>
    <t>增加為 2 枚，形成雙路徑。</t>
  </si>
  <si>
    <t>命中帶小幅擊退，安全感提升。</t>
  </si>
  <si>
    <t>飛行寬度與回返傷害上修，形成高效率雙擊。</t>
  </si>
  <si>
    <t>P2</t>
  </si>
  <si>
    <t>wind, returning, pierce, spacing</t>
  </si>
  <si>
    <t>earthspike_line</t>
  </si>
  <si>
    <t>地脈尖刺</t>
  </si>
  <si>
    <t>ground_line</t>
  </si>
  <si>
    <t>前方封路、延遲高傷</t>
  </si>
  <si>
    <t>地面依序冒出尖刺，形成直線封鎖區，適合卡窄道與打衝臉怪群。</t>
  </si>
  <si>
    <t>短線尖刺依序爆發。</t>
  </si>
  <si>
    <t>尖刺段數增加。</t>
  </si>
  <si>
    <t>提升寬度與命中傷害。</t>
  </si>
  <si>
    <t>追加第 2 段餘震，壓制更久。</t>
  </si>
  <si>
    <t>長線地脈裂解＋高爆發收尾。</t>
  </si>
  <si>
    <t>earth, ground, burst, lane_control</t>
  </si>
  <si>
    <t>vine_turret</t>
  </si>
  <si>
    <t>毒藤砲台</t>
  </si>
  <si>
    <t>summon_turret</t>
  </si>
  <si>
    <t>定點輸出、持續吐彈</t>
  </si>
  <si>
    <t>在玩家附近生成毒藤砲台，定期發射毒種子；擅長佔點與補持續火力。</t>
  </si>
  <si>
    <t>1 座砲台，固定節奏吐彈。</t>
  </si>
  <si>
    <t>縮短射擊間隔。</t>
  </si>
  <si>
    <t>種子附帶中毒 DoT。</t>
  </si>
  <si>
    <t>可同時存在 2 座砲台。</t>
  </si>
  <si>
    <t>砲台攻擊附帶短暫定身或小範圍濺射。</t>
  </si>
  <si>
    <t>summon, plant, turret, poison</t>
  </si>
  <si>
    <t>dragon_familiar</t>
  </si>
  <si>
    <t>幼龍使魔</t>
  </si>
  <si>
    <t>summon_familiar</t>
  </si>
  <si>
    <t>跟隨型高價值輸出</t>
  </si>
  <si>
    <t>小龍跟隨玩家飛行，定期向前方或最近敵人噴吐火球；稀有感與成長感強。</t>
  </si>
  <si>
    <t>1 隻幼龍跟隨並發射火球。</t>
  </si>
  <si>
    <t>縮短吐息間隔。</t>
  </si>
  <si>
    <t>解鎖短距離火焰噴吐。</t>
  </si>
  <si>
    <t>增加為 2 隻幼龍。</t>
  </si>
  <si>
    <t>雙龍協同輸出，火球附帶強化灼燒。</t>
  </si>
  <si>
    <t>中高</t>
  </si>
  <si>
    <t>summon, dragon, fire, familiar</t>
  </si>
  <si>
    <t>frost_totem</t>
  </si>
  <si>
    <t>冰晶圖騰</t>
  </si>
  <si>
    <t>summon_totem</t>
  </si>
  <si>
    <t>定點緩速、節奏控場</t>
  </si>
  <si>
    <t>在場上豎立冰晶圖騰，週期性脈衝減速敵人，並可額外發射冰晶碎片。</t>
  </si>
  <si>
    <t>圖騰脈衝造成緩速。</t>
  </si>
  <si>
    <t>控場半徑擴大。</t>
  </si>
  <si>
    <t>每輪脈衝附帶冰晶碎片。</t>
  </si>
  <si>
    <t>提高冰凍累積，對菁英更有效。</t>
  </si>
  <si>
    <t>可同時存在 2 座圖騰或脈衝頻率大幅提升。</t>
  </si>
  <si>
    <t>summon, ice, totem, control</t>
  </si>
  <si>
    <t>counter_ward</t>
  </si>
  <si>
    <t>反擊護幕</t>
  </si>
  <si>
    <t>shield_counter</t>
  </si>
  <si>
    <t>護盾保命、近身反擊</t>
  </si>
  <si>
    <t>週期性獲得護盾；護盾存在時近距離自動射出碎片，護盾破裂時觸發反擊脈衝。</t>
  </si>
  <si>
    <t>獲得小型護盾與近距離碎片。</t>
  </si>
  <si>
    <t>護盾值與持續時間提升。</t>
  </si>
  <si>
    <t>護盾破裂時放出反擊碎片。</t>
  </si>
  <si>
    <t>護盾存在時定期擴散短脈衝。</t>
  </si>
  <si>
    <t>護盾循環更短，反擊範圍與傷害大幅提升。</t>
  </si>
  <si>
    <t>defense, shield, counter, close_range</t>
  </si>
  <si>
    <t>建議開發順序：先做 P1（火球、雷擊、砲台、護幕），再做 P2（風刃、地刺、幼龍、圖騰）。</t>
  </si>
  <si>
    <t>halo_disc</t>
    <phoneticPr fontId="5" type="noConversion"/>
  </si>
  <si>
    <t>comet_lance</t>
    <phoneticPr fontId="5" type="noConversion"/>
  </si>
  <si>
    <t>nova_bloom</t>
    <phoneticPr fontId="5" type="noConversion"/>
  </si>
  <si>
    <t>奧術飛矢</t>
    <phoneticPr fontId="5" type="noConversion"/>
  </si>
  <si>
    <t>聖環飛刃</t>
    <phoneticPr fontId="5" type="noConversion"/>
  </si>
  <si>
    <t>寒霜冰箭</t>
    <phoneticPr fontId="5" type="noConversion"/>
  </si>
  <si>
    <t>新星綻放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</si>
</sst>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新細明體"/>
      <family val="2"/>
      <scheme val="minor"/>
    </font>
    <font>
      <b/>
      <sz val="16"/>
      <color rgb="FFFFFFFF"/>
      <name val="新細明體"/>
      <family val="1"/>
      <charset val="136"/>
    </font>
    <font>
      <b/>
      <sz val="11"/>
      <color rgb="FFFFFFFF"/>
      <name val="新細明體"/>
      <family val="1"/>
      <charset val="136"/>
    </font>
    <font>
      <b/>
      <sz val="11"/>
      <name val="新細明體"/>
      <family val="1"/>
      <charset val="136"/>
    </font>
    <font>
      <b/>
      <sz val="11"/>
      <color rgb="FF0B1E34"/>
      <name val="新細明體"/>
      <family val="1"/>
      <charset val="136"/>
    </font>
    <font>
      <sz val="9"/>
      <name val="新細明體"/>
      <family val="3"/>
      <charset val="136"/>
      <scheme val="minor"/>
    </font>
  </fonts>
  <fills count="17">
    <fill>
      <patternFill patternType="none"/>
    </fill>
    <fill>
      <patternFill patternType="gray125"/>
    </fill>
    <fill>
      <patternFill patternType="solid">
        <fgColor rgb="FF0F2A4A"/>
      </patternFill>
    </fill>
    <fill>
      <patternFill patternType="solid">
        <fgColor rgb="FF0B1E34"/>
      </patternFill>
    </fill>
    <fill>
      <patternFill patternType="solid">
        <fgColor rgb="FFEAF8FA"/>
      </patternFill>
    </fill>
    <fill>
      <patternFill patternType="solid">
        <fgColor rgb="FFDDEBF7"/>
      </patternFill>
    </fill>
    <fill>
      <patternFill patternType="solid">
        <fgColor rgb="FFFFFFFF"/>
      </patternFill>
    </fill>
    <fill>
      <patternFill patternType="solid">
        <fgColor rgb="FFF8FAFC"/>
      </patternFill>
    </fill>
    <fill>
      <patternFill patternType="solid">
        <fgColor rgb="FFF8FBFF"/>
      </patternFill>
    </fill>
    <fill>
      <patternFill patternType="solid">
        <fgColor rgb="FFDFF3E3"/>
      </patternFill>
    </fill>
    <fill>
      <patternFill patternType="solid">
        <fgColor rgb="FFDCE6F1"/>
      </patternFill>
    </fill>
    <fill>
      <patternFill patternType="solid">
        <fgColor rgb="FFD9EAD3"/>
      </patternFill>
    </fill>
    <fill>
      <patternFill patternType="solid">
        <fgColor rgb="FFFFF4D6"/>
      </patternFill>
    </fill>
    <fill>
      <patternFill patternType="solid">
        <fgColor rgb="FFFCE5CD"/>
      </patternFill>
    </fill>
    <fill>
      <patternFill patternType="solid">
        <fgColor rgb="FFFFF2CC"/>
      </patternFill>
    </fill>
    <fill>
      <patternFill patternType="solid">
        <fgColor rgb="FFEAD1DC"/>
      </patternFill>
    </fill>
    <fill>
      <patternFill patternType="solid">
        <fgColor rgb="FFF4CCCC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2" fillId="3" borderId="0" xfId="0" applyFont="1" applyFill="1"/>
    <xf numFmtId="0" fontId="0" fillId="4" borderId="0" xfId="0" applyFill="1" applyAlignment="1">
      <alignment wrapText="1"/>
    </xf>
    <xf numFmtId="0" fontId="3" fillId="5" borderId="1" xfId="0" applyFont="1" applyFill="1" applyBorder="1"/>
    <xf numFmtId="0" fontId="0" fillId="6" borderId="1" xfId="0" applyFill="1" applyBorder="1"/>
    <xf numFmtId="0" fontId="2" fillId="3" borderId="1" xfId="0" applyFont="1" applyFill="1" applyBorder="1"/>
    <xf numFmtId="0" fontId="0" fillId="7" borderId="1" xfId="0" applyFill="1" applyBorder="1"/>
    <xf numFmtId="0" fontId="3" fillId="5" borderId="0" xfId="0" applyFont="1" applyFill="1"/>
    <xf numFmtId="0" fontId="0" fillId="6" borderId="0" xfId="0" applyFill="1" applyAlignment="1">
      <alignment wrapText="1"/>
    </xf>
    <xf numFmtId="0" fontId="2" fillId="3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top" wrapText="1"/>
    </xf>
    <xf numFmtId="0" fontId="3" fillId="9" borderId="1" xfId="0" applyFont="1" applyFill="1" applyBorder="1" applyAlignment="1">
      <alignment horizontal="center" vertical="center" wrapText="1"/>
    </xf>
    <xf numFmtId="0" fontId="0" fillId="8" borderId="1" xfId="0" applyFill="1" applyBorder="1" applyAlignment="1">
      <alignment horizontal="center" vertical="center" wrapText="1"/>
    </xf>
    <xf numFmtId="0" fontId="4" fillId="8" borderId="1" xfId="0" applyFont="1" applyFill="1" applyBorder="1" applyAlignment="1">
      <alignment horizontal="center" vertical="center" wrapText="1"/>
    </xf>
    <xf numFmtId="0" fontId="0" fillId="8" borderId="1" xfId="0" applyFill="1" applyBorder="1" applyAlignment="1">
      <alignment vertical="top" wrapText="1"/>
    </xf>
    <xf numFmtId="0" fontId="0" fillId="10" borderId="1" xfId="0" applyFill="1" applyBorder="1" applyAlignment="1">
      <alignment horizontal="center" vertical="center" wrapText="1"/>
    </xf>
    <xf numFmtId="0" fontId="3" fillId="11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12" borderId="1" xfId="0" applyFont="1" applyFill="1" applyBorder="1" applyAlignment="1">
      <alignment horizontal="center" vertical="center" wrapText="1"/>
    </xf>
    <xf numFmtId="0" fontId="3" fillId="13" borderId="1" xfId="0" applyFont="1" applyFill="1" applyBorder="1" applyAlignment="1">
      <alignment horizontal="center" vertical="center" wrapText="1"/>
    </xf>
    <xf numFmtId="0" fontId="0" fillId="14" borderId="1" xfId="0" applyFill="1" applyBorder="1" applyAlignment="1">
      <alignment horizontal="center" vertical="center" wrapText="1"/>
    </xf>
    <xf numFmtId="0" fontId="3" fillId="15" borderId="1" xfId="0" applyFont="1" applyFill="1" applyBorder="1" applyAlignment="1">
      <alignment horizontal="center" vertical="center" wrapText="1"/>
    </xf>
    <xf numFmtId="0" fontId="0" fillId="16" borderId="1" xfId="0" applyFill="1" applyBorder="1" applyAlignment="1">
      <alignment horizontal="center" vertical="center" wrapText="1"/>
    </xf>
    <xf numFmtId="0" fontId="1" fillId="2" borderId="0" xfId="0" applyFont="1" applyFill="1" applyAlignment="1">
      <alignment horizontal="center"/>
    </xf>
    <xf numFmtId="0" fontId="0" fillId="0" borderId="0" xfId="0"/>
    <xf numFmtId="0" fontId="0" fillId="4" borderId="1" xfId="0" applyFill="1" applyBorder="1" applyAlignment="1">
      <alignment wrapText="1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1"/>
  <c:style val="10"/>
  <c:chart>
    <c:title>
      <c:tx>
        <c:rich>
          <a:bodyPr/>
          <a:lstStyle/>
          <a:p>
            <a:pPr>
              <a:defRPr/>
            </a:pPr>
            <a:r>
              <a:rPr lang="zh-TW" altLang="en-US"/>
              <a:t>開發優先順序分布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spPr>
            <a:ln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總覽!$B$9:$B$11</c:f>
              <c:strCache>
                <c:ptCount val="3"/>
                <c:pt idx="0">
                  <c:v>P1 優先開發</c:v>
                </c:pt>
                <c:pt idx="1">
                  <c:v>P2 次優先</c:v>
                </c:pt>
                <c:pt idx="2">
                  <c:v>P0 已實裝</c:v>
                </c:pt>
              </c:strCache>
            </c:strRef>
          </c:cat>
          <c:val>
            <c:numRef>
              <c:f>總覽!$C$9:$C$11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FF8-416D-BEB7-F9915A36D69B}"/>
            </c:ext>
          </c:extLst>
        </c:ser>
        <c:dLbls>
          <c:showLegendKey val="1"/>
          <c:showVal val="1"/>
          <c:showCatName val="1"/>
          <c:showSerName val="1"/>
          <c:showPercent val="1"/>
          <c:showBubbleSize val="1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zh-TW" altLang="en-US"/>
                  <a:t>分類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zh-TW" altLang="en-US"/>
                  <a:t>技能數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0</xdr:colOff>
      <xdr:row>19</xdr:row>
      <xdr:rowOff>0</xdr:rowOff>
    </xdr:from>
    <xdr:ext cx="3240000" cy="216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4</xdr:row>
      <xdr:rowOff>0</xdr:rowOff>
    </xdr:from>
    <xdr:ext cx="342900" cy="3429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5</xdr:row>
      <xdr:rowOff>0</xdr:rowOff>
    </xdr:from>
    <xdr:ext cx="342900" cy="342900"/>
    <xdr:pic>
      <xdr:nvPicPr>
        <xdr:cNvPr id="3" name="Image 2" descr="Picture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6</xdr:row>
      <xdr:rowOff>0</xdr:rowOff>
    </xdr:from>
    <xdr:ext cx="342900" cy="342900"/>
    <xdr:pic>
      <xdr:nvPicPr>
        <xdr:cNvPr id="4" name="Image 3" descr="Picture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7</xdr:row>
      <xdr:rowOff>0</xdr:rowOff>
    </xdr:from>
    <xdr:ext cx="342900" cy="342900"/>
    <xdr:pic>
      <xdr:nvPicPr>
        <xdr:cNvPr id="5" name="Image 4" descr="Picture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8</xdr:row>
      <xdr:rowOff>0</xdr:rowOff>
    </xdr:from>
    <xdr:ext cx="342900" cy="342900"/>
    <xdr:pic>
      <xdr:nvPicPr>
        <xdr:cNvPr id="6" name="Image 5" descr="Picture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9</xdr:row>
      <xdr:rowOff>0</xdr:rowOff>
    </xdr:from>
    <xdr:ext cx="342900" cy="342900"/>
    <xdr:pic>
      <xdr:nvPicPr>
        <xdr:cNvPr id="7" name="Image 6" descr="Picture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PicPr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10</xdr:row>
      <xdr:rowOff>0</xdr:rowOff>
    </xdr:from>
    <xdr:ext cx="342900" cy="342900"/>
    <xdr:pic>
      <xdr:nvPicPr>
        <xdr:cNvPr id="8" name="Image 7" descr="Picture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PicPr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11</xdr:row>
      <xdr:rowOff>0</xdr:rowOff>
    </xdr:from>
    <xdr:ext cx="342900" cy="342900"/>
    <xdr:pic>
      <xdr:nvPicPr>
        <xdr:cNvPr id="9" name="Image 8" descr="Picture"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PicPr/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12</xdr:row>
      <xdr:rowOff>0</xdr:rowOff>
    </xdr:from>
    <xdr:ext cx="342900" cy="342900"/>
    <xdr:pic>
      <xdr:nvPicPr>
        <xdr:cNvPr id="10" name="Image 9" descr="Picture">
          <a:extLst>
            <a:ext uri="{FF2B5EF4-FFF2-40B4-BE49-F238E27FC236}">
              <a16:creationId xmlns:a16="http://schemas.microsoft.com/office/drawing/2014/main" id="{00000000-0008-0000-0100-00000A000000}"/>
            </a:ext>
          </a:extLst>
        </xdr:cNvPr>
        <xdr:cNvPicPr/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13</xdr:row>
      <xdr:rowOff>0</xdr:rowOff>
    </xdr:from>
    <xdr:ext cx="342900" cy="342900"/>
    <xdr:pic>
      <xdr:nvPicPr>
        <xdr:cNvPr id="11" name="Image 10" descr="Picture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PicPr/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14</xdr:row>
      <xdr:rowOff>0</xdr:rowOff>
    </xdr:from>
    <xdr:ext cx="342900" cy="342900"/>
    <xdr:pic>
      <xdr:nvPicPr>
        <xdr:cNvPr id="12" name="Image 11" descr="Picture">
          <a:extLst>
            <a:ext uri="{FF2B5EF4-FFF2-40B4-BE49-F238E27FC236}">
              <a16:creationId xmlns:a16="http://schemas.microsoft.com/office/drawing/2014/main" id="{00000000-0008-0000-0100-00000C000000}"/>
            </a:ext>
          </a:extLst>
        </xdr:cNvPr>
        <xdr:cNvPicPr/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15</xdr:row>
      <xdr:rowOff>0</xdr:rowOff>
    </xdr:from>
    <xdr:ext cx="342900" cy="342900"/>
    <xdr:pic>
      <xdr:nvPicPr>
        <xdr:cNvPr id="13" name="Image 12" descr="Picture">
          <a:extLst>
            <a:ext uri="{FF2B5EF4-FFF2-40B4-BE49-F238E27FC236}">
              <a16:creationId xmlns:a16="http://schemas.microsoft.com/office/drawing/2014/main" id="{00000000-0008-0000-0100-00000D000000}"/>
            </a:ext>
          </a:extLst>
        </xdr:cNvPr>
        <xdr:cNvPicPr/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H18"/>
  <sheetViews>
    <sheetView showGridLines="0" zoomScale="95" workbookViewId="0"/>
  </sheetViews>
  <sheetFormatPr defaultRowHeight="15.75" x14ac:dyDescent="0.25"/>
  <cols>
    <col min="2" max="2" width="16" customWidth="1"/>
    <col min="3" max="3" width="48" customWidth="1"/>
    <col min="5" max="5" width="20" customWidth="1"/>
    <col min="6" max="6" width="10" customWidth="1"/>
  </cols>
  <sheetData>
    <row r="2" spans="2:8" ht="21" x14ac:dyDescent="0.3">
      <c r="B2" s="24" t="s">
        <v>0</v>
      </c>
      <c r="C2" s="25"/>
      <c r="D2" s="25"/>
      <c r="E2" s="25"/>
      <c r="F2" s="25"/>
      <c r="G2" s="25"/>
      <c r="H2" s="25"/>
    </row>
    <row r="4" spans="2:8" ht="31.5" x14ac:dyDescent="0.25">
      <c r="B4" s="1" t="s">
        <v>1</v>
      </c>
      <c r="C4" s="2" t="s">
        <v>2</v>
      </c>
    </row>
    <row r="6" spans="2:8" x14ac:dyDescent="0.25">
      <c r="B6" s="3" t="s">
        <v>3</v>
      </c>
      <c r="C6" s="4">
        <f>COUNTA(主動技能規格!B5:B16)</f>
        <v>12</v>
      </c>
      <c r="E6" s="5" t="s">
        <v>4</v>
      </c>
      <c r="F6" s="5" t="s">
        <v>5</v>
      </c>
    </row>
    <row r="7" spans="2:8" x14ac:dyDescent="0.25">
      <c r="B7" s="3" t="s">
        <v>6</v>
      </c>
      <c r="C7" s="4">
        <f>COUNTIF(主動技能規格!B5:B16,"既有")</f>
        <v>4</v>
      </c>
      <c r="E7" s="6" t="s">
        <v>7</v>
      </c>
      <c r="F7" s="4">
        <f>COUNTIF(主動技能規格!D5:D16,E7)</f>
        <v>0</v>
      </c>
    </row>
    <row r="8" spans="2:8" x14ac:dyDescent="0.25">
      <c r="B8" s="3" t="s">
        <v>8</v>
      </c>
      <c r="C8" s="4">
        <f>COUNTIF(主動技能規格!B5:B16,"新增")</f>
        <v>8</v>
      </c>
      <c r="E8" s="6" t="s">
        <v>9</v>
      </c>
      <c r="F8" s="4">
        <f>COUNTIF(主動技能規格!D5:D16,E8)</f>
        <v>0</v>
      </c>
    </row>
    <row r="9" spans="2:8" x14ac:dyDescent="0.25">
      <c r="B9" s="3" t="s">
        <v>10</v>
      </c>
      <c r="C9" s="4">
        <f>COUNTIF(主動技能規格!M5:M16,"P1")</f>
        <v>0</v>
      </c>
      <c r="E9" s="6" t="s">
        <v>11</v>
      </c>
      <c r="F9" s="4">
        <f>COUNTIF(主動技能規格!D5:D16,E9)</f>
        <v>0</v>
      </c>
    </row>
    <row r="10" spans="2:8" x14ac:dyDescent="0.25">
      <c r="B10" s="3" t="s">
        <v>12</v>
      </c>
      <c r="C10" s="4">
        <f>COUNTIF(主動技能規格!M5:M16,"P2")</f>
        <v>0</v>
      </c>
      <c r="E10" s="6" t="s">
        <v>13</v>
      </c>
      <c r="F10" s="4">
        <f>COUNTIF(主動技能規格!D5:D16,E10)</f>
        <v>0</v>
      </c>
    </row>
    <row r="11" spans="2:8" x14ac:dyDescent="0.25">
      <c r="B11" s="3" t="s">
        <v>14</v>
      </c>
      <c r="C11" s="4">
        <f>COUNTIF(主動技能規格!M5:M16,"P0")</f>
        <v>0</v>
      </c>
      <c r="E11" s="6" t="s">
        <v>15</v>
      </c>
      <c r="F11" s="4">
        <f>COUNTIF(主動技能規格!D5:D16,E11)</f>
        <v>0</v>
      </c>
    </row>
    <row r="12" spans="2:8" x14ac:dyDescent="0.25">
      <c r="E12" s="6" t="s">
        <v>16</v>
      </c>
      <c r="F12" s="4">
        <f>COUNTIF(主動技能規格!D5:D16,E12)</f>
        <v>0</v>
      </c>
    </row>
    <row r="13" spans="2:8" x14ac:dyDescent="0.25">
      <c r="E13" s="6" t="s">
        <v>17</v>
      </c>
      <c r="F13" s="4">
        <f>COUNTIF(主動技能規格!D5:D16,E13)</f>
        <v>0</v>
      </c>
    </row>
    <row r="14" spans="2:8" ht="47.25" x14ac:dyDescent="0.25">
      <c r="B14" s="1" t="s">
        <v>18</v>
      </c>
      <c r="C14" s="2" t="s">
        <v>19</v>
      </c>
      <c r="E14" s="6" t="s">
        <v>20</v>
      </c>
      <c r="F14" s="4">
        <f>COUNTIF(主動技能規格!D5:D16,E14)</f>
        <v>0</v>
      </c>
    </row>
    <row r="15" spans="2:8" x14ac:dyDescent="0.25">
      <c r="B15" s="7" t="s">
        <v>21</v>
      </c>
      <c r="C15" s="8" t="s">
        <v>22</v>
      </c>
      <c r="E15" s="6" t="s">
        <v>23</v>
      </c>
      <c r="F15" s="4">
        <f>COUNTIF(主動技能規格!D5:D16,E15)</f>
        <v>0</v>
      </c>
    </row>
    <row r="16" spans="2:8" x14ac:dyDescent="0.25">
      <c r="B16" s="7" t="s">
        <v>24</v>
      </c>
      <c r="C16" s="8" t="s">
        <v>25</v>
      </c>
      <c r="E16" s="6" t="s">
        <v>26</v>
      </c>
      <c r="F16" s="4">
        <f>COUNTIF(主動技能規格!D5:D16,E16)</f>
        <v>0</v>
      </c>
    </row>
    <row r="17" spans="5:6" x14ac:dyDescent="0.25">
      <c r="E17" s="6" t="s">
        <v>27</v>
      </c>
      <c r="F17" s="4">
        <f>COUNTIF(主動技能規格!D5:D16,E17)</f>
        <v>0</v>
      </c>
    </row>
    <row r="18" spans="5:6" x14ac:dyDescent="0.25">
      <c r="E18" s="6" t="s">
        <v>28</v>
      </c>
      <c r="F18" s="4">
        <f>COUNTIF(主動技能規格!D5:D16,E18)</f>
        <v>0</v>
      </c>
    </row>
  </sheetData>
  <mergeCells count="1">
    <mergeCell ref="B2:H2"/>
  </mergeCells>
  <phoneticPr fontId="5" type="noConversion"/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P19"/>
  <sheetViews>
    <sheetView showGridLines="0" tabSelected="1" zoomScaleNormal="100" workbookViewId="0">
      <pane ySplit="4" topLeftCell="A5" activePane="bottomLeft" state="frozen"/>
      <selection pane="bottomLeft" activeCell="C7" sqref="C7"/>
    </sheetView>
  </sheetViews>
  <sheetFormatPr defaultRowHeight="15.75" x14ac:dyDescent="0.25"/>
  <cols>
    <col min="1" max="1" width="8" customWidth="1"/>
    <col min="2" max="2" width="9" customWidth="1"/>
    <col min="3" max="3" width="18" customWidth="1"/>
    <col min="4" max="4" width="14" customWidth="1"/>
    <col min="5" max="5" width="18" customWidth="1"/>
    <col min="6" max="6" width="16" customWidth="1"/>
    <col min="7" max="7" width="24" customWidth="1"/>
    <col min="8" max="8" width="34" customWidth="1"/>
    <col min="9" max="12" width="20" customWidth="1"/>
    <col min="13" max="13" width="22" customWidth="1"/>
    <col min="14" max="14" width="11" customWidth="1"/>
    <col min="15" max="15" width="10" customWidth="1"/>
    <col min="16" max="16" width="24" customWidth="1"/>
  </cols>
  <sheetData>
    <row r="2" spans="1:16" ht="21" x14ac:dyDescent="0.3">
      <c r="B2" s="24" t="s">
        <v>29</v>
      </c>
      <c r="C2" s="25"/>
      <c r="D2" s="25"/>
      <c r="E2" s="25"/>
      <c r="F2" s="25"/>
      <c r="G2" s="25"/>
      <c r="H2" s="25"/>
      <c r="I2" s="25"/>
      <c r="J2" s="25"/>
      <c r="K2" s="25"/>
      <c r="L2" s="25"/>
      <c r="M2" s="25"/>
      <c r="N2" s="25"/>
    </row>
    <row r="3" spans="1:16" ht="94.5" x14ac:dyDescent="0.25">
      <c r="B3" s="1" t="s">
        <v>30</v>
      </c>
      <c r="C3" s="2" t="s">
        <v>31</v>
      </c>
    </row>
    <row r="4" spans="1:16" x14ac:dyDescent="0.25">
      <c r="A4" s="9" t="s">
        <v>32</v>
      </c>
      <c r="B4" s="9" t="s">
        <v>33</v>
      </c>
      <c r="C4" s="9" t="s">
        <v>34</v>
      </c>
      <c r="D4" s="9" t="s">
        <v>35</v>
      </c>
      <c r="E4" s="9" t="s">
        <v>4</v>
      </c>
      <c r="F4" s="9" t="s">
        <v>36</v>
      </c>
      <c r="G4" s="9" t="s">
        <v>37</v>
      </c>
      <c r="H4" s="9" t="s">
        <v>38</v>
      </c>
      <c r="I4" s="9" t="s">
        <v>39</v>
      </c>
      <c r="J4" s="9" t="s">
        <v>40</v>
      </c>
      <c r="K4" s="9" t="s">
        <v>41</v>
      </c>
      <c r="L4" s="9" t="s">
        <v>42</v>
      </c>
      <c r="M4" s="9" t="s">
        <v>43</v>
      </c>
      <c r="N4" s="9" t="s">
        <v>44</v>
      </c>
      <c r="O4" s="9" t="s">
        <v>45</v>
      </c>
      <c r="P4" s="9" t="s">
        <v>46</v>
      </c>
    </row>
    <row r="5" spans="1:16" ht="32.1" customHeight="1" x14ac:dyDescent="0.25">
      <c r="A5" s="10"/>
      <c r="B5" s="11" t="s">
        <v>47</v>
      </c>
      <c r="C5" s="12" t="s">
        <v>48</v>
      </c>
      <c r="D5" s="13" t="s">
        <v>184</v>
      </c>
      <c r="E5" s="12" t="s">
        <v>7</v>
      </c>
      <c r="F5" s="12" t="s">
        <v>49</v>
      </c>
      <c r="G5" s="14" t="s">
        <v>50</v>
      </c>
      <c r="H5" s="14" t="s">
        <v>51</v>
      </c>
      <c r="I5" s="14" t="s">
        <v>52</v>
      </c>
      <c r="J5" s="14" t="s">
        <v>53</v>
      </c>
      <c r="K5" s="14" t="s">
        <v>54</v>
      </c>
      <c r="L5" s="14" t="s">
        <v>55</v>
      </c>
      <c r="M5" s="14" t="s">
        <v>56</v>
      </c>
      <c r="N5" s="15" t="s">
        <v>57</v>
      </c>
      <c r="O5" s="16" t="s">
        <v>58</v>
      </c>
      <c r="P5" s="14" t="s">
        <v>59</v>
      </c>
    </row>
    <row r="6" spans="1:16" ht="32.1" customHeight="1" x14ac:dyDescent="0.25">
      <c r="A6" s="10"/>
      <c r="B6" s="11" t="s">
        <v>47</v>
      </c>
      <c r="C6" s="17" t="s">
        <v>181</v>
      </c>
      <c r="D6" s="18" t="s">
        <v>185</v>
      </c>
      <c r="E6" s="17" t="s">
        <v>9</v>
      </c>
      <c r="F6" s="17" t="s">
        <v>60</v>
      </c>
      <c r="G6" s="10" t="s">
        <v>61</v>
      </c>
      <c r="H6" s="10" t="s">
        <v>62</v>
      </c>
      <c r="I6" s="10" t="s">
        <v>63</v>
      </c>
      <c r="J6" s="10" t="s">
        <v>64</v>
      </c>
      <c r="K6" s="10" t="s">
        <v>65</v>
      </c>
      <c r="L6" s="10" t="s">
        <v>66</v>
      </c>
      <c r="M6" s="10" t="s">
        <v>67</v>
      </c>
      <c r="N6" s="15" t="s">
        <v>57</v>
      </c>
      <c r="O6" s="16" t="s">
        <v>58</v>
      </c>
      <c r="P6" s="10" t="s">
        <v>68</v>
      </c>
    </row>
    <row r="7" spans="1:16" ht="32.1" customHeight="1" x14ac:dyDescent="0.25">
      <c r="A7" s="10"/>
      <c r="B7" s="11" t="s">
        <v>47</v>
      </c>
      <c r="C7" s="12" t="s">
        <v>182</v>
      </c>
      <c r="D7" s="13" t="s">
        <v>186</v>
      </c>
      <c r="E7" s="12" t="s">
        <v>11</v>
      </c>
      <c r="F7" s="12" t="s">
        <v>69</v>
      </c>
      <c r="G7" s="14" t="s">
        <v>70</v>
      </c>
      <c r="H7" s="14" t="s">
        <v>71</v>
      </c>
      <c r="I7" s="14" t="s">
        <v>72</v>
      </c>
      <c r="J7" s="14" t="s">
        <v>73</v>
      </c>
      <c r="K7" s="14" t="s">
        <v>74</v>
      </c>
      <c r="L7" s="14" t="s">
        <v>75</v>
      </c>
      <c r="M7" s="14" t="s">
        <v>76</v>
      </c>
      <c r="N7" s="15" t="s">
        <v>57</v>
      </c>
      <c r="O7" s="16" t="s">
        <v>58</v>
      </c>
      <c r="P7" s="14" t="s">
        <v>77</v>
      </c>
    </row>
    <row r="8" spans="1:16" ht="32.1" customHeight="1" x14ac:dyDescent="0.25">
      <c r="A8" s="10"/>
      <c r="B8" s="11" t="s">
        <v>47</v>
      </c>
      <c r="C8" s="17" t="s">
        <v>183</v>
      </c>
      <c r="D8" s="18" t="s">
        <v>187</v>
      </c>
      <c r="E8" s="17" t="s">
        <v>13</v>
      </c>
      <c r="F8" s="17" t="s">
        <v>78</v>
      </c>
      <c r="G8" s="10" t="s">
        <v>79</v>
      </c>
      <c r="H8" s="10" t="s">
        <v>80</v>
      </c>
      <c r="I8" s="10" t="s">
        <v>81</v>
      </c>
      <c r="J8" s="10" t="s">
        <v>82</v>
      </c>
      <c r="K8" s="10" t="s">
        <v>83</v>
      </c>
      <c r="L8" s="10" t="s">
        <v>84</v>
      </c>
      <c r="M8" s="10" t="s">
        <v>85</v>
      </c>
      <c r="N8" s="15" t="s">
        <v>57</v>
      </c>
      <c r="O8" s="16" t="s">
        <v>58</v>
      </c>
      <c r="P8" s="10" t="s">
        <v>86</v>
      </c>
    </row>
    <row r="9" spans="1:16" ht="32.1" customHeight="1" x14ac:dyDescent="0.25">
      <c r="A9" s="10"/>
      <c r="B9" s="19" t="s">
        <v>87</v>
      </c>
      <c r="C9" s="12" t="s">
        <v>88</v>
      </c>
      <c r="D9" s="13" t="s">
        <v>89</v>
      </c>
      <c r="E9" s="12" t="s">
        <v>15</v>
      </c>
      <c r="F9" s="12" t="s">
        <v>90</v>
      </c>
      <c r="G9" s="14" t="s">
        <v>91</v>
      </c>
      <c r="H9" s="14" t="s">
        <v>92</v>
      </c>
      <c r="I9" s="14" t="s">
        <v>93</v>
      </c>
      <c r="J9" s="14" t="s">
        <v>94</v>
      </c>
      <c r="K9" s="14" t="s">
        <v>95</v>
      </c>
      <c r="L9" s="14" t="s">
        <v>96</v>
      </c>
      <c r="M9" s="14" t="s">
        <v>97</v>
      </c>
      <c r="N9" s="15" t="s">
        <v>57</v>
      </c>
      <c r="O9" s="20" t="s">
        <v>98</v>
      </c>
      <c r="P9" s="14" t="s">
        <v>99</v>
      </c>
    </row>
    <row r="10" spans="1:16" ht="32.1" customHeight="1" x14ac:dyDescent="0.25">
      <c r="A10" s="10"/>
      <c r="B10" s="19" t="s">
        <v>87</v>
      </c>
      <c r="C10" s="17" t="s">
        <v>100</v>
      </c>
      <c r="D10" s="18" t="s">
        <v>101</v>
      </c>
      <c r="E10" s="17" t="s">
        <v>16</v>
      </c>
      <c r="F10" s="17" t="s">
        <v>102</v>
      </c>
      <c r="G10" s="10" t="s">
        <v>103</v>
      </c>
      <c r="H10" s="10" t="s">
        <v>104</v>
      </c>
      <c r="I10" s="10" t="s">
        <v>105</v>
      </c>
      <c r="J10" s="10" t="s">
        <v>106</v>
      </c>
      <c r="K10" s="10" t="s">
        <v>107</v>
      </c>
      <c r="L10" s="10" t="s">
        <v>108</v>
      </c>
      <c r="M10" s="10" t="s">
        <v>109</v>
      </c>
      <c r="N10" s="21" t="s">
        <v>110</v>
      </c>
      <c r="O10" s="20" t="s">
        <v>98</v>
      </c>
      <c r="P10" s="10" t="s">
        <v>111</v>
      </c>
    </row>
    <row r="11" spans="1:16" ht="32.1" customHeight="1" x14ac:dyDescent="0.25">
      <c r="A11" s="10"/>
      <c r="B11" s="19" t="s">
        <v>87</v>
      </c>
      <c r="C11" s="12" t="s">
        <v>112</v>
      </c>
      <c r="D11" s="13" t="s">
        <v>113</v>
      </c>
      <c r="E11" s="12" t="s">
        <v>17</v>
      </c>
      <c r="F11" s="12" t="s">
        <v>114</v>
      </c>
      <c r="G11" s="14" t="s">
        <v>115</v>
      </c>
      <c r="H11" s="14" t="s">
        <v>116</v>
      </c>
      <c r="I11" s="14" t="s">
        <v>117</v>
      </c>
      <c r="J11" s="14" t="s">
        <v>118</v>
      </c>
      <c r="K11" s="14" t="s">
        <v>119</v>
      </c>
      <c r="L11" s="14" t="s">
        <v>120</v>
      </c>
      <c r="M11" s="14" t="s">
        <v>121</v>
      </c>
      <c r="N11" s="21" t="s">
        <v>110</v>
      </c>
      <c r="O11" s="22" t="s">
        <v>122</v>
      </c>
      <c r="P11" s="14" t="s">
        <v>123</v>
      </c>
    </row>
    <row r="12" spans="1:16" ht="32.1" customHeight="1" x14ac:dyDescent="0.25">
      <c r="A12" s="10"/>
      <c r="B12" s="19" t="s">
        <v>87</v>
      </c>
      <c r="C12" s="17" t="s">
        <v>124</v>
      </c>
      <c r="D12" s="18" t="s">
        <v>125</v>
      </c>
      <c r="E12" s="17" t="s">
        <v>20</v>
      </c>
      <c r="F12" s="17" t="s">
        <v>126</v>
      </c>
      <c r="G12" s="10" t="s">
        <v>127</v>
      </c>
      <c r="H12" s="10" t="s">
        <v>128</v>
      </c>
      <c r="I12" s="10" t="s">
        <v>129</v>
      </c>
      <c r="J12" s="10" t="s">
        <v>130</v>
      </c>
      <c r="K12" s="10" t="s">
        <v>131</v>
      </c>
      <c r="L12" s="10" t="s">
        <v>132</v>
      </c>
      <c r="M12" s="10" t="s">
        <v>133</v>
      </c>
      <c r="N12" s="21" t="s">
        <v>110</v>
      </c>
      <c r="O12" s="22" t="s">
        <v>122</v>
      </c>
      <c r="P12" s="10" t="s">
        <v>134</v>
      </c>
    </row>
    <row r="13" spans="1:16" ht="32.1" customHeight="1" x14ac:dyDescent="0.25">
      <c r="A13" s="10"/>
      <c r="B13" s="19" t="s">
        <v>87</v>
      </c>
      <c r="C13" s="12" t="s">
        <v>135</v>
      </c>
      <c r="D13" s="13" t="s">
        <v>136</v>
      </c>
      <c r="E13" s="12" t="s">
        <v>23</v>
      </c>
      <c r="F13" s="12" t="s">
        <v>137</v>
      </c>
      <c r="G13" s="14" t="s">
        <v>138</v>
      </c>
      <c r="H13" s="14" t="s">
        <v>139</v>
      </c>
      <c r="I13" s="14" t="s">
        <v>140</v>
      </c>
      <c r="J13" s="14" t="s">
        <v>141</v>
      </c>
      <c r="K13" s="14" t="s">
        <v>142</v>
      </c>
      <c r="L13" s="14" t="s">
        <v>143</v>
      </c>
      <c r="M13" s="14" t="s">
        <v>144</v>
      </c>
      <c r="N13" s="21" t="s">
        <v>110</v>
      </c>
      <c r="O13" s="20" t="s">
        <v>98</v>
      </c>
      <c r="P13" s="14" t="s">
        <v>145</v>
      </c>
    </row>
    <row r="14" spans="1:16" ht="32.1" customHeight="1" x14ac:dyDescent="0.25">
      <c r="A14" s="10"/>
      <c r="B14" s="19" t="s">
        <v>87</v>
      </c>
      <c r="C14" s="17" t="s">
        <v>146</v>
      </c>
      <c r="D14" s="18" t="s">
        <v>147</v>
      </c>
      <c r="E14" s="17" t="s">
        <v>26</v>
      </c>
      <c r="F14" s="17" t="s">
        <v>148</v>
      </c>
      <c r="G14" s="10" t="s">
        <v>149</v>
      </c>
      <c r="H14" s="10" t="s">
        <v>150</v>
      </c>
      <c r="I14" s="10" t="s">
        <v>151</v>
      </c>
      <c r="J14" s="10" t="s">
        <v>152</v>
      </c>
      <c r="K14" s="10" t="s">
        <v>153</v>
      </c>
      <c r="L14" s="10" t="s">
        <v>154</v>
      </c>
      <c r="M14" s="10" t="s">
        <v>155</v>
      </c>
      <c r="N14" s="23" t="s">
        <v>156</v>
      </c>
      <c r="O14" s="22" t="s">
        <v>122</v>
      </c>
      <c r="P14" s="10" t="s">
        <v>157</v>
      </c>
    </row>
    <row r="15" spans="1:16" ht="32.1" customHeight="1" x14ac:dyDescent="0.25">
      <c r="A15" s="10"/>
      <c r="B15" s="19" t="s">
        <v>87</v>
      </c>
      <c r="C15" s="12" t="s">
        <v>158</v>
      </c>
      <c r="D15" s="13" t="s">
        <v>159</v>
      </c>
      <c r="E15" s="12" t="s">
        <v>27</v>
      </c>
      <c r="F15" s="12" t="s">
        <v>160</v>
      </c>
      <c r="G15" s="14" t="s">
        <v>161</v>
      </c>
      <c r="H15" s="14" t="s">
        <v>162</v>
      </c>
      <c r="I15" s="14" t="s">
        <v>163</v>
      </c>
      <c r="J15" s="14" t="s">
        <v>164</v>
      </c>
      <c r="K15" s="14" t="s">
        <v>165</v>
      </c>
      <c r="L15" s="14" t="s">
        <v>166</v>
      </c>
      <c r="M15" s="14" t="s">
        <v>167</v>
      </c>
      <c r="N15" s="21" t="s">
        <v>110</v>
      </c>
      <c r="O15" s="22" t="s">
        <v>122</v>
      </c>
      <c r="P15" s="14" t="s">
        <v>168</v>
      </c>
    </row>
    <row r="16" spans="1:16" ht="32.1" customHeight="1" x14ac:dyDescent="0.25">
      <c r="A16" s="10"/>
      <c r="B16" s="19" t="s">
        <v>87</v>
      </c>
      <c r="C16" s="17" t="s">
        <v>169</v>
      </c>
      <c r="D16" s="18" t="s">
        <v>170</v>
      </c>
      <c r="E16" s="17" t="s">
        <v>28</v>
      </c>
      <c r="F16" s="17" t="s">
        <v>171</v>
      </c>
      <c r="G16" s="10" t="s">
        <v>172</v>
      </c>
      <c r="H16" s="10" t="s">
        <v>173</v>
      </c>
      <c r="I16" s="10" t="s">
        <v>174</v>
      </c>
      <c r="J16" s="10" t="s">
        <v>175</v>
      </c>
      <c r="K16" s="10" t="s">
        <v>176</v>
      </c>
      <c r="L16" s="10" t="s">
        <v>177</v>
      </c>
      <c r="M16" s="10" t="s">
        <v>178</v>
      </c>
      <c r="N16" s="21" t="s">
        <v>110</v>
      </c>
      <c r="O16" s="20" t="s">
        <v>98</v>
      </c>
      <c r="P16" s="10" t="s">
        <v>179</v>
      </c>
    </row>
    <row r="19" spans="2:16" x14ac:dyDescent="0.25">
      <c r="B19" s="26" t="s">
        <v>180</v>
      </c>
      <c r="C19" s="25"/>
      <c r="D19" s="25"/>
      <c r="E19" s="25"/>
      <c r="F19" s="25"/>
      <c r="G19" s="25"/>
      <c r="H19" s="25"/>
      <c r="I19" s="25"/>
      <c r="J19" s="25"/>
      <c r="K19" s="25"/>
      <c r="L19" s="25"/>
      <c r="M19" s="25"/>
      <c r="N19" s="25"/>
      <c r="O19" s="25"/>
      <c r="P19" s="25"/>
    </row>
  </sheetData>
  <mergeCells count="2">
    <mergeCell ref="B2:N2"/>
    <mergeCell ref="B19:P19"/>
  </mergeCells>
  <phoneticPr fontId="5" type="noConversion"/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總覽</vt:lpstr>
      <vt:lpstr>主動技能規格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陳汶彬</cp:lastModifiedBy>
  <dcterms:created xsi:type="dcterms:W3CDTF">2026-03-26T07:40:33Z</dcterms:created>
  <dcterms:modified xsi:type="dcterms:W3CDTF">2026-03-30T09:01:37Z</dcterms:modified>
</cp:coreProperties>
</file>